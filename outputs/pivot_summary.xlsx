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" sheetId="1" state="visible" r:id="rId1"/>
    <sheet xmlns:r="http://schemas.openxmlformats.org/officeDocument/2006/relationships" name="Sales by Category" sheetId="2" state="visible" r:id="rId2"/>
    <sheet xmlns:r="http://schemas.openxmlformats.org/officeDocument/2006/relationships" name="Orders by Ship Mode" sheetId="3" state="visible" r:id="rId3"/>
    <sheet xmlns:r="http://schemas.openxmlformats.org/officeDocument/2006/relationships" name="Margin by Segment" sheetId="4" state="visible" r:id="rId4"/>
    <sheet xmlns:r="http://schemas.openxmlformats.org/officeDocument/2006/relationships" name="Exceptions by Region" sheetId="5" state="visible" r:id="rId5"/>
    <sheet xmlns:r="http://schemas.openxmlformats.org/officeDocument/2006/relationships" name="Monthly Sales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D6E4F0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4" fontId="4" fillId="0" borderId="1" pivotButton="0" quotePrefix="0" xfId="0"/>
    <xf numFmtId="164" fontId="4" fillId="0" borderId="1" pivotButton="0" quotePrefix="0" xfId="0"/>
    <xf numFmtId="0" fontId="5" fillId="4" borderId="1" pivotButton="0" quotePrefix="0" xfId="0"/>
    <xf numFmtId="4" fontId="5" fillId="4" borderId="1" pivotButton="0" quotePrefix="0" xfId="0"/>
    <xf numFmtId="164" fontId="5" fillId="4" borderId="1" pivotButton="0" quotePrefix="0" xfId="0"/>
    <xf numFmtId="0" fontId="0" fillId="4" borderId="1" pivotButton="0" quotePrefix="0" xfId="0"/>
    <xf numFmtId="0" fontId="1" fillId="5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&amp;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Region'!B3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Region'!$A$4:$A$8</f>
            </numRef>
          </cat>
          <val>
            <numRef>
              <f>'Sales by Region'!$B$4:$B$8</f>
            </numRef>
          </val>
        </ser>
        <ser>
          <idx val="1"/>
          <order val="1"/>
          <tx>
            <strRef>
              <f>'Sales by Region'!C3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Region'!$A$4:$A$8</f>
            </numRef>
          </cat>
          <val>
            <numRef>
              <f>'Sales by Region'!$C$4:$C$8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Sub-Categories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 by Category'!C3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Category'!$B$4:$B$13</f>
            </numRef>
          </cat>
          <val>
            <numRef>
              <f>'Sales by Category'!$C$4:$C$13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Ship Mode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'Orders by Ship Mode'!B3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'Orders by Ship Mode'!$A$4:$A$8</f>
            </numRef>
          </cat>
          <val>
            <numRef>
              <f>'Orders by Ship Mode'!$B$4:$B$8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 Trend'!D3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 Trend'!$A$4:$A$27</f>
            </numRef>
          </cat>
          <val>
            <numRef>
              <f>'Monthly Sales Trend'!$D$4:$D$27</f>
            </numRef>
          </val>
        </ser>
        <ser>
          <idx val="1"/>
          <order val="1"/>
          <tx>
            <strRef>
              <f>'Monthly Sales Trend'!E3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 Trend'!$A$4:$A$27</f>
            </numRef>
          </cat>
          <val>
            <numRef>
              <f>'Monthly Sales Trend'!$E$4:$E$27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26" customHeight="1">
      <c r="A1" s="1" t="inlineStr">
        <is>
          <t>Pivot 1: Sales &amp; Profit by Region (Sorted by Sales, Descending)</t>
        </is>
      </c>
    </row>
    <row r="2" ht="16" customHeight="1">
      <c r="A2" s="2" t="inlineStr">
        <is>
          <t>Scope: Completed orders with Paid payment status only</t>
        </is>
      </c>
    </row>
    <row r="3" ht="25" customHeight="1">
      <c r="A3" s="3" t="inlineStr">
        <is>
          <t>Region</t>
        </is>
      </c>
      <c r="B3" s="3" t="inlineStr">
        <is>
          <t>Total Sales (₹)</t>
        </is>
      </c>
      <c r="C3" s="3" t="inlineStr">
        <is>
          <t>Total Profit (₹)</t>
        </is>
      </c>
      <c r="D3" s="3" t="inlineStr">
        <is>
          <t>Order Count</t>
        </is>
      </c>
      <c r="E3" s="3" t="inlineStr">
        <is>
          <t>Avg Profit Margin</t>
        </is>
      </c>
    </row>
    <row r="4" ht="18" customHeight="1">
      <c r="A4" s="4" t="inlineStr">
        <is>
          <t>South</t>
        </is>
      </c>
      <c r="B4" s="5" t="n">
        <v>1603605.81</v>
      </c>
      <c r="C4" s="5" t="n">
        <v>430123.77</v>
      </c>
      <c r="D4" s="4" t="n">
        <v>153</v>
      </c>
      <c r="E4" s="6" t="n">
        <v>0.2772</v>
      </c>
    </row>
    <row r="5" ht="18" customHeight="1">
      <c r="A5" s="7" t="inlineStr">
        <is>
          <t>West</t>
        </is>
      </c>
      <c r="B5" s="8" t="n">
        <v>1502507.2</v>
      </c>
      <c r="C5" s="8" t="n">
        <v>433402.26</v>
      </c>
      <c r="D5" s="7" t="n">
        <v>153</v>
      </c>
      <c r="E5" s="9" t="n">
        <v>0.3007</v>
      </c>
    </row>
    <row r="6" ht="18" customHeight="1">
      <c r="A6" s="4" t="inlineStr">
        <is>
          <t>East</t>
        </is>
      </c>
      <c r="B6" s="5" t="n">
        <v>1382664.41</v>
      </c>
      <c r="C6" s="5" t="n">
        <v>415855.03</v>
      </c>
      <c r="D6" s="4" t="n">
        <v>149</v>
      </c>
      <c r="E6" s="6" t="n">
        <v>0.3065</v>
      </c>
    </row>
    <row r="7" ht="18" customHeight="1">
      <c r="A7" s="7" t="inlineStr">
        <is>
          <t>North</t>
        </is>
      </c>
      <c r="B7" s="8" t="n">
        <v>1282973.07</v>
      </c>
      <c r="C7" s="8" t="n">
        <v>379389.68</v>
      </c>
      <c r="D7" s="7" t="n">
        <v>128</v>
      </c>
      <c r="E7" s="9" t="n">
        <v>0.2987</v>
      </c>
    </row>
    <row r="8" ht="18" customHeight="1">
      <c r="A8" s="4" t="inlineStr">
        <is>
          <t>Unknown</t>
        </is>
      </c>
      <c r="B8" s="5" t="n">
        <v>187898.46</v>
      </c>
      <c r="C8" s="5" t="n">
        <v>63943.19</v>
      </c>
      <c r="D8" s="4" t="n">
        <v>19</v>
      </c>
      <c r="E8" s="6" t="n">
        <v>0.3352</v>
      </c>
    </row>
    <row r="9">
      <c r="A9" s="10" t="inlineStr">
        <is>
          <t>TOTAL</t>
        </is>
      </c>
      <c r="B9" s="11" t="n">
        <v>5959648.94</v>
      </c>
      <c r="C9" s="11" t="n">
        <v>1722713.92</v>
      </c>
      <c r="D9" s="10" t="n">
        <v>602</v>
      </c>
      <c r="E9" s="12" t="n">
        <v>0.3037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2" customWidth="1" min="5" max="5"/>
    <col width="16" customWidth="1" min="6" max="6"/>
  </cols>
  <sheetData>
    <row r="1" ht="26" customHeight="1">
      <c r="A1" s="1" t="inlineStr">
        <is>
          <t>Pivot 2: Sales &amp; Profit by Category &amp; Sub-Category (Sorted by Sales)</t>
        </is>
      </c>
    </row>
    <row r="2">
      <c r="A2" s="2" t="inlineStr">
        <is>
          <t>Scope: Completed orders with Paid payment status only</t>
        </is>
      </c>
    </row>
    <row r="3" ht="25" customHeight="1">
      <c r="A3" s="3" t="inlineStr">
        <is>
          <t>Category</t>
        </is>
      </c>
      <c r="B3" s="3" t="inlineStr">
        <is>
          <t>Sub-Category</t>
        </is>
      </c>
      <c r="C3" s="3" t="inlineStr">
        <is>
          <t>Total Sales (₹)</t>
        </is>
      </c>
      <c r="D3" s="3" t="inlineStr">
        <is>
          <t>Total Profit (₹)</t>
        </is>
      </c>
      <c r="E3" s="3" t="inlineStr">
        <is>
          <t>Order Count</t>
        </is>
      </c>
      <c r="F3" s="3" t="inlineStr">
        <is>
          <t>Avg Margin</t>
        </is>
      </c>
    </row>
    <row r="4" ht="18" customHeight="1">
      <c r="A4" s="4" t="inlineStr">
        <is>
          <t>Technology</t>
        </is>
      </c>
      <c r="B4" s="4" t="inlineStr">
        <is>
          <t>Copiers</t>
        </is>
      </c>
      <c r="C4" s="5" t="n">
        <v>670173.3100000001</v>
      </c>
      <c r="D4" s="5" t="n">
        <v>194107.97</v>
      </c>
      <c r="E4" s="4" t="n">
        <v>66</v>
      </c>
      <c r="F4" s="6" t="n">
        <v>0.3022</v>
      </c>
    </row>
    <row r="5" ht="18" customHeight="1">
      <c r="A5" s="7" t="inlineStr">
        <is>
          <t>Furniture</t>
        </is>
      </c>
      <c r="B5" s="7" t="inlineStr">
        <is>
          <t>Chairs</t>
        </is>
      </c>
      <c r="C5" s="8" t="n">
        <v>583968.65</v>
      </c>
      <c r="D5" s="8" t="n">
        <v>175651.42</v>
      </c>
      <c r="E5" s="7" t="n">
        <v>56</v>
      </c>
      <c r="F5" s="9" t="n">
        <v>0.3046</v>
      </c>
    </row>
    <row r="6" ht="18" customHeight="1">
      <c r="A6" s="4" t="inlineStr">
        <is>
          <t>Technology</t>
        </is>
      </c>
      <c r="B6" s="4" t="inlineStr">
        <is>
          <t>Phones</t>
        </is>
      </c>
      <c r="C6" s="5" t="n">
        <v>580140.5</v>
      </c>
      <c r="D6" s="5" t="n">
        <v>164648.83</v>
      </c>
      <c r="E6" s="4" t="n">
        <v>53</v>
      </c>
      <c r="F6" s="6" t="n">
        <v>0.2848</v>
      </c>
    </row>
    <row r="7" ht="18" customHeight="1">
      <c r="A7" s="7" t="inlineStr">
        <is>
          <t>Office Supplies</t>
        </is>
      </c>
      <c r="B7" s="7" t="inlineStr">
        <is>
          <t>Storage</t>
        </is>
      </c>
      <c r="C7" s="8" t="n">
        <v>541888.25</v>
      </c>
      <c r="D7" s="8" t="n">
        <v>134582.92</v>
      </c>
      <c r="E7" s="7" t="n">
        <v>55</v>
      </c>
      <c r="F7" s="9" t="n">
        <v>0.2783</v>
      </c>
    </row>
    <row r="8" ht="18" customHeight="1">
      <c r="A8" s="4" t="inlineStr">
        <is>
          <t>Technology</t>
        </is>
      </c>
      <c r="B8" s="4" t="inlineStr">
        <is>
          <t>Accessories</t>
        </is>
      </c>
      <c r="C8" s="5" t="n">
        <v>520097.44</v>
      </c>
      <c r="D8" s="5" t="n">
        <v>148006.45</v>
      </c>
      <c r="E8" s="4" t="n">
        <v>47</v>
      </c>
      <c r="F8" s="6" t="n">
        <v>0.289</v>
      </c>
    </row>
    <row r="9" ht="18" customHeight="1">
      <c r="A9" s="7" t="inlineStr">
        <is>
          <t>Furniture</t>
        </is>
      </c>
      <c r="B9" s="7" t="inlineStr">
        <is>
          <t>Furnishings</t>
        </is>
      </c>
      <c r="C9" s="8" t="n">
        <v>503021.35</v>
      </c>
      <c r="D9" s="8" t="n">
        <v>146832.71</v>
      </c>
      <c r="E9" s="7" t="n">
        <v>51</v>
      </c>
      <c r="F9" s="9" t="n">
        <v>0.3078</v>
      </c>
    </row>
    <row r="10" ht="18" customHeight="1">
      <c r="A10" s="4" t="inlineStr">
        <is>
          <t>Office Supplies</t>
        </is>
      </c>
      <c r="B10" s="4" t="inlineStr">
        <is>
          <t>Paper</t>
        </is>
      </c>
      <c r="C10" s="5" t="n">
        <v>447884.39</v>
      </c>
      <c r="D10" s="5" t="n">
        <v>123501.05</v>
      </c>
      <c r="E10" s="4" t="n">
        <v>42</v>
      </c>
      <c r="F10" s="6" t="n">
        <v>0.3029</v>
      </c>
    </row>
    <row r="11" ht="18" customHeight="1">
      <c r="A11" s="7" t="inlineStr">
        <is>
          <t>Technology</t>
        </is>
      </c>
      <c r="B11" s="7" t="inlineStr">
        <is>
          <t>Machines</t>
        </is>
      </c>
      <c r="C11" s="8" t="n">
        <v>429529.93</v>
      </c>
      <c r="D11" s="8" t="n">
        <v>148398.06</v>
      </c>
      <c r="E11" s="7" t="n">
        <v>47</v>
      </c>
      <c r="F11" s="9" t="n">
        <v>0.3339</v>
      </c>
    </row>
    <row r="12" ht="18" customHeight="1">
      <c r="A12" s="4" t="inlineStr">
        <is>
          <t>Furniture</t>
        </is>
      </c>
      <c r="B12" s="4" t="inlineStr">
        <is>
          <t>Tables</t>
        </is>
      </c>
      <c r="C12" s="5" t="n">
        <v>420185.33</v>
      </c>
      <c r="D12" s="5" t="n">
        <v>127253.69</v>
      </c>
      <c r="E12" s="4" t="n">
        <v>49</v>
      </c>
      <c r="F12" s="6" t="n">
        <v>0.2984</v>
      </c>
    </row>
    <row r="13" ht="18" customHeight="1">
      <c r="A13" s="7" t="inlineStr">
        <is>
          <t>Furniture</t>
        </is>
      </c>
      <c r="B13" s="7" t="inlineStr">
        <is>
          <t>Bookcases</t>
        </is>
      </c>
      <c r="C13" s="8" t="n">
        <v>410143.26</v>
      </c>
      <c r="D13" s="8" t="n">
        <v>105141.23</v>
      </c>
      <c r="E13" s="7" t="n">
        <v>43</v>
      </c>
      <c r="F13" s="9" t="n">
        <v>0.2683</v>
      </c>
    </row>
    <row r="14" ht="18" customHeight="1">
      <c r="A14" s="4" t="inlineStr">
        <is>
          <t>Office Supplies</t>
        </is>
      </c>
      <c r="B14" s="4" t="inlineStr">
        <is>
          <t>Binders</t>
        </is>
      </c>
      <c r="C14" s="5" t="n">
        <v>342853.56</v>
      </c>
      <c r="D14" s="5" t="n">
        <v>109222.19</v>
      </c>
      <c r="E14" s="4" t="n">
        <v>34</v>
      </c>
      <c r="F14" s="6" t="n">
        <v>0.319</v>
      </c>
    </row>
    <row r="15" ht="18" customHeight="1">
      <c r="A15" s="7" t="inlineStr">
        <is>
          <t>Office Supplies</t>
        </is>
      </c>
      <c r="B15" s="7" t="inlineStr">
        <is>
          <t>Art</t>
        </is>
      </c>
      <c r="C15" s="8" t="n">
        <v>300592.44</v>
      </c>
      <c r="D15" s="8" t="n">
        <v>80200.78</v>
      </c>
      <c r="E15" s="7" t="n">
        <v>29</v>
      </c>
      <c r="F15" s="9" t="n">
        <v>0.2548</v>
      </c>
    </row>
    <row r="16" ht="18" customHeight="1">
      <c r="A16" s="4" t="inlineStr">
        <is>
          <t>Office Supplies</t>
        </is>
      </c>
      <c r="B16" s="4" t="inlineStr">
        <is>
          <t>Labels</t>
        </is>
      </c>
      <c r="C16" s="5" t="n">
        <v>209170.53</v>
      </c>
      <c r="D16" s="5" t="n">
        <v>65166.62</v>
      </c>
      <c r="E16" s="4" t="n">
        <v>30</v>
      </c>
      <c r="F16" s="6" t="n">
        <v>0.3062</v>
      </c>
    </row>
    <row r="17">
      <c r="A17" s="10" t="inlineStr">
        <is>
          <t>TOTAL</t>
        </is>
      </c>
      <c r="B17" s="13" t="n"/>
      <c r="C17" s="11" t="n">
        <v>5959648.94</v>
      </c>
      <c r="D17" s="11" t="n">
        <v>1722713.92</v>
      </c>
      <c r="E17" s="10" t="n">
        <v>602</v>
      </c>
      <c r="F17" s="13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</cols>
  <sheetData>
    <row r="1" ht="26" customHeight="1">
      <c r="A1" s="1" t="inlineStr">
        <is>
          <t>Pivot 3: Order Count &amp; Sales by Ship Mode</t>
        </is>
      </c>
    </row>
    <row r="3" ht="25" customHeight="1">
      <c r="A3" s="3" t="inlineStr">
        <is>
          <t>Ship Mode</t>
        </is>
      </c>
      <c r="B3" s="3" t="inlineStr">
        <is>
          <t>Order Count</t>
        </is>
      </c>
      <c r="C3" s="3" t="inlineStr">
        <is>
          <t>Total Sales (₹)</t>
        </is>
      </c>
      <c r="D3" s="3" t="inlineStr">
        <is>
          <t>Avg Shipping Delay (days)</t>
        </is>
      </c>
    </row>
    <row r="4" ht="18" customHeight="1">
      <c r="A4" s="4" t="inlineStr">
        <is>
          <t>Standard Class</t>
        </is>
      </c>
      <c r="B4" s="4" t="n">
        <v>242</v>
      </c>
      <c r="C4" s="5" t="n">
        <v>2518427</v>
      </c>
      <c r="D4" s="4" t="n">
        <v>3.9</v>
      </c>
    </row>
    <row r="5" ht="18" customHeight="1">
      <c r="A5" s="7" t="inlineStr">
        <is>
          <t>First Class</t>
        </is>
      </c>
      <c r="B5" s="7" t="n">
        <v>223</v>
      </c>
      <c r="C5" s="8" t="n">
        <v>2299569.12</v>
      </c>
      <c r="D5" s="7" t="n">
        <v>8.300000000000001</v>
      </c>
    </row>
    <row r="6" ht="18" customHeight="1">
      <c r="A6" s="4" t="inlineStr">
        <is>
          <t>Second Class</t>
        </is>
      </c>
      <c r="B6" s="4" t="n">
        <v>222</v>
      </c>
      <c r="C6" s="5" t="n">
        <v>2266197.93</v>
      </c>
      <c r="D6" s="4" t="n">
        <v>5.6</v>
      </c>
    </row>
    <row r="7" ht="18" customHeight="1">
      <c r="A7" s="7" t="inlineStr">
        <is>
          <t>Same Day</t>
        </is>
      </c>
      <c r="B7" s="7" t="n">
        <v>204</v>
      </c>
      <c r="C7" s="8" t="n">
        <v>1765495.28</v>
      </c>
      <c r="D7" s="7" t="n">
        <v>-3.4</v>
      </c>
    </row>
    <row r="8" ht="18" customHeight="1">
      <c r="A8" s="4" t="inlineStr">
        <is>
          <t>Unknown</t>
        </is>
      </c>
      <c r="B8" s="4" t="n">
        <v>21</v>
      </c>
      <c r="C8" s="5" t="n">
        <v>216547.71</v>
      </c>
      <c r="D8" s="4" t="n">
        <v>17.2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26" customHeight="1">
      <c r="A1" s="1" t="inlineStr">
        <is>
          <t>Pivot 4: Profit Margin by Customer Segment (Sorted by Margin)</t>
        </is>
      </c>
    </row>
    <row r="3" ht="25" customHeight="1">
      <c r="A3" s="3" t="inlineStr">
        <is>
          <t>Segment</t>
        </is>
      </c>
      <c r="B3" s="3" t="inlineStr">
        <is>
          <t>Total Sales (₹)</t>
        </is>
      </c>
      <c r="C3" s="3" t="inlineStr">
        <is>
          <t>Total Profit (₹)</t>
        </is>
      </c>
      <c r="D3" s="3" t="inlineStr">
        <is>
          <t>Order Count</t>
        </is>
      </c>
      <c r="E3" s="3" t="inlineStr">
        <is>
          <t>Overall Profit Margin</t>
        </is>
      </c>
    </row>
    <row r="4" ht="18" customHeight="1">
      <c r="A4" s="4" t="inlineStr">
        <is>
          <t>Home Office</t>
        </is>
      </c>
      <c r="B4" s="5" t="n">
        <v>1558492.57</v>
      </c>
      <c r="C4" s="5" t="n">
        <v>468430.68</v>
      </c>
      <c r="D4" s="4" t="n">
        <v>162</v>
      </c>
      <c r="E4" s="6" t="n">
        <v>0.3006</v>
      </c>
    </row>
    <row r="5" ht="18" customHeight="1">
      <c r="A5" s="7" t="inlineStr">
        <is>
          <t>Corporate</t>
        </is>
      </c>
      <c r="B5" s="8" t="n">
        <v>1312159.62</v>
      </c>
      <c r="C5" s="8" t="n">
        <v>386126.62</v>
      </c>
      <c r="D5" s="7" t="n">
        <v>135</v>
      </c>
      <c r="E5" s="9" t="n">
        <v>0.2943</v>
      </c>
    </row>
    <row r="6" ht="18" customHeight="1">
      <c r="A6" s="4" t="inlineStr">
        <is>
          <t>Consumer</t>
        </is>
      </c>
      <c r="B6" s="5" t="n">
        <v>1444995.17</v>
      </c>
      <c r="C6" s="5" t="n">
        <v>410319.87</v>
      </c>
      <c r="D6" s="4" t="n">
        <v>147</v>
      </c>
      <c r="E6" s="6" t="n">
        <v>0.284</v>
      </c>
    </row>
    <row r="7" ht="18" customHeight="1">
      <c r="A7" s="7" t="inlineStr">
        <is>
          <t>Small Business</t>
        </is>
      </c>
      <c r="B7" s="8" t="n">
        <v>1644001.59</v>
      </c>
      <c r="C7" s="8" t="n">
        <v>457836.76</v>
      </c>
      <c r="D7" s="7" t="n">
        <v>158</v>
      </c>
      <c r="E7" s="9" t="n">
        <v>0.2785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Pivot 5: Refunded, Cancelled &amp; Failed Orders by Region</t>
        </is>
      </c>
    </row>
    <row r="3" ht="25" customHeight="1">
      <c r="A3" s="3" t="inlineStr">
        <is>
          <t>Region</t>
        </is>
      </c>
      <c r="B3" s="3" t="inlineStr">
        <is>
          <t>Cancelled</t>
        </is>
      </c>
      <c r="C3" s="3" t="inlineStr">
        <is>
          <t>Completed</t>
        </is>
      </c>
      <c r="D3" s="3" t="inlineStr">
        <is>
          <t>Returned</t>
        </is>
      </c>
    </row>
    <row r="4" ht="18" customHeight="1">
      <c r="A4" s="4" t="inlineStr">
        <is>
          <t>North</t>
        </is>
      </c>
      <c r="B4" s="4" t="n">
        <v>48</v>
      </c>
      <c r="C4" s="4" t="n">
        <v>129</v>
      </c>
      <c r="D4" s="4" t="n">
        <v>37</v>
      </c>
    </row>
    <row r="5" ht="18" customHeight="1">
      <c r="A5" s="7" t="inlineStr">
        <is>
          <t>South</t>
        </is>
      </c>
      <c r="B5" s="7" t="n">
        <v>35</v>
      </c>
      <c r="C5" s="7" t="n">
        <v>153</v>
      </c>
      <c r="D5" s="7" t="n">
        <v>37</v>
      </c>
    </row>
    <row r="6" ht="18" customHeight="1">
      <c r="A6" s="4" t="inlineStr">
        <is>
          <t>East</t>
        </is>
      </c>
      <c r="B6" s="4" t="n">
        <v>30</v>
      </c>
      <c r="C6" s="4" t="n">
        <v>149</v>
      </c>
      <c r="D6" s="4" t="n">
        <v>45</v>
      </c>
    </row>
    <row r="7" ht="18" customHeight="1">
      <c r="A7" s="7" t="inlineStr">
        <is>
          <t>West</t>
        </is>
      </c>
      <c r="B7" s="7" t="n">
        <v>30</v>
      </c>
      <c r="C7" s="7" t="n">
        <v>154</v>
      </c>
      <c r="D7" s="7" t="n">
        <v>40</v>
      </c>
    </row>
    <row r="8" ht="18" customHeight="1">
      <c r="A8" s="4" t="inlineStr">
        <is>
          <t>Unknown</t>
        </is>
      </c>
      <c r="B8" s="4" t="n">
        <v>2</v>
      </c>
      <c r="C8" s="4" t="n">
        <v>19</v>
      </c>
      <c r="D8" s="4" t="n">
        <v>4</v>
      </c>
    </row>
    <row r="11" ht="26" customHeight="1">
      <c r="A11" s="14" t="inlineStr">
        <is>
          <t>Failed Payment Orders by Region</t>
        </is>
      </c>
    </row>
    <row r="12" ht="25" customHeight="1">
      <c r="A12" s="15" t="inlineStr">
        <is>
          <t>Region</t>
        </is>
      </c>
      <c r="B12" s="15" t="inlineStr">
        <is>
          <t>Failed Orders</t>
        </is>
      </c>
      <c r="C12" s="15" t="inlineStr">
        <is>
          <t>Lost Sales Value (₹)</t>
        </is>
      </c>
    </row>
    <row r="13" ht="18" customHeight="1">
      <c r="A13" s="7" t="inlineStr">
        <is>
          <t>North</t>
        </is>
      </c>
      <c r="B13" s="7" t="n">
        <v>20</v>
      </c>
      <c r="C13" s="8" t="n">
        <v>179412.71</v>
      </c>
    </row>
    <row r="14" ht="18" customHeight="1">
      <c r="A14" s="4" t="inlineStr">
        <is>
          <t>South</t>
        </is>
      </c>
      <c r="B14" s="4" t="n">
        <v>20</v>
      </c>
      <c r="C14" s="5" t="n">
        <v>150960.46</v>
      </c>
    </row>
    <row r="15" ht="18" customHeight="1">
      <c r="A15" s="7" t="inlineStr">
        <is>
          <t>West</t>
        </is>
      </c>
      <c r="B15" s="7" t="n">
        <v>14</v>
      </c>
      <c r="C15" s="8" t="n">
        <v>106791.61</v>
      </c>
    </row>
    <row r="16" ht="18" customHeight="1">
      <c r="A16" s="4" t="inlineStr">
        <is>
          <t>East</t>
        </is>
      </c>
      <c r="B16" s="4" t="n">
        <v>13</v>
      </c>
      <c r="C16" s="5" t="n">
        <v>172566.37</v>
      </c>
    </row>
    <row r="17" ht="18" customHeight="1">
      <c r="A17" s="7" t="inlineStr">
        <is>
          <t>Unknown</t>
        </is>
      </c>
      <c r="B17" s="7" t="n">
        <v>2</v>
      </c>
      <c r="C17" s="8" t="n">
        <v>30080.59</v>
      </c>
    </row>
  </sheetData>
  <mergeCells count="2">
    <mergeCell ref="A1:E1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Pivot 6: Monthly Sales &amp; Profit Trend (Sorted by Year-Month)</t>
        </is>
      </c>
    </row>
    <row r="3" ht="25" customHeight="1">
      <c r="A3" s="3" t="inlineStr">
        <is>
          <t>Year-Month</t>
        </is>
      </c>
      <c r="B3" s="3" t="inlineStr">
        <is>
          <t>Year</t>
        </is>
      </c>
      <c r="C3" s="3" t="inlineStr">
        <is>
          <t>Month</t>
        </is>
      </c>
      <c r="D3" s="3" t="inlineStr">
        <is>
          <t>Total Sales (₹)</t>
        </is>
      </c>
      <c r="E3" s="3" t="inlineStr">
        <is>
          <t>Total Profit (₹)</t>
        </is>
      </c>
      <c r="F3" s="3" t="inlineStr">
        <is>
          <t>Order Count</t>
        </is>
      </c>
    </row>
    <row r="4" ht="18" customHeight="1">
      <c r="A4" s="4" t="inlineStr">
        <is>
          <t>2024-01</t>
        </is>
      </c>
      <c r="B4" s="4" t="n">
        <v>2024</v>
      </c>
      <c r="C4" s="4" t="n">
        <v>1</v>
      </c>
      <c r="D4" s="5" t="n">
        <v>280653.21</v>
      </c>
      <c r="E4" s="5" t="n">
        <v>91948.48</v>
      </c>
      <c r="F4" s="4" t="n">
        <v>29</v>
      </c>
    </row>
    <row r="5" ht="18" customHeight="1">
      <c r="A5" s="7" t="inlineStr">
        <is>
          <t>2024-02</t>
        </is>
      </c>
      <c r="B5" s="7" t="n">
        <v>2024</v>
      </c>
      <c r="C5" s="7" t="n">
        <v>2</v>
      </c>
      <c r="D5" s="8" t="n">
        <v>300958.17</v>
      </c>
      <c r="E5" s="8" t="n">
        <v>95249.00999999999</v>
      </c>
      <c r="F5" s="7" t="n">
        <v>30</v>
      </c>
    </row>
    <row r="6" ht="18" customHeight="1">
      <c r="A6" s="4" t="inlineStr">
        <is>
          <t>2024-03</t>
        </is>
      </c>
      <c r="B6" s="4" t="n">
        <v>2024</v>
      </c>
      <c r="C6" s="4" t="n">
        <v>3</v>
      </c>
      <c r="D6" s="5" t="n">
        <v>207229.45</v>
      </c>
      <c r="E6" s="5" t="n">
        <v>60218.74</v>
      </c>
      <c r="F6" s="4" t="n">
        <v>24</v>
      </c>
    </row>
    <row r="7" ht="18" customHeight="1">
      <c r="A7" s="7" t="inlineStr">
        <is>
          <t>2024-04</t>
        </is>
      </c>
      <c r="B7" s="7" t="n">
        <v>2024</v>
      </c>
      <c r="C7" s="7" t="n">
        <v>4</v>
      </c>
      <c r="D7" s="8" t="n">
        <v>283732.08</v>
      </c>
      <c r="E7" s="8" t="n">
        <v>84843.63</v>
      </c>
      <c r="F7" s="7" t="n">
        <v>25</v>
      </c>
    </row>
    <row r="8" ht="18" customHeight="1">
      <c r="A8" s="4" t="inlineStr">
        <is>
          <t>2024-05</t>
        </is>
      </c>
      <c r="B8" s="4" t="n">
        <v>2024</v>
      </c>
      <c r="C8" s="4" t="n">
        <v>5</v>
      </c>
      <c r="D8" s="5" t="n">
        <v>336636.11</v>
      </c>
      <c r="E8" s="5" t="n">
        <v>83312.34</v>
      </c>
      <c r="F8" s="4" t="n">
        <v>31</v>
      </c>
    </row>
    <row r="9" ht="18" customHeight="1">
      <c r="A9" s="7" t="inlineStr">
        <is>
          <t>2024-06</t>
        </is>
      </c>
      <c r="B9" s="7" t="n">
        <v>2024</v>
      </c>
      <c r="C9" s="7" t="n">
        <v>6</v>
      </c>
      <c r="D9" s="8" t="n">
        <v>368076.88</v>
      </c>
      <c r="E9" s="8" t="n">
        <v>105685.83</v>
      </c>
      <c r="F9" s="7" t="n">
        <v>32</v>
      </c>
    </row>
    <row r="10" ht="18" customHeight="1">
      <c r="A10" s="4" t="inlineStr">
        <is>
          <t>2024-07</t>
        </is>
      </c>
      <c r="B10" s="4" t="n">
        <v>2024</v>
      </c>
      <c r="C10" s="4" t="n">
        <v>7</v>
      </c>
      <c r="D10" s="5" t="n">
        <v>230450.7</v>
      </c>
      <c r="E10" s="5" t="n">
        <v>59110.02</v>
      </c>
      <c r="F10" s="4" t="n">
        <v>27</v>
      </c>
    </row>
    <row r="11" ht="18" customHeight="1">
      <c r="A11" s="7" t="inlineStr">
        <is>
          <t>2024-08</t>
        </is>
      </c>
      <c r="B11" s="7" t="n">
        <v>2024</v>
      </c>
      <c r="C11" s="7" t="n">
        <v>8</v>
      </c>
      <c r="D11" s="8" t="n">
        <v>232786.99</v>
      </c>
      <c r="E11" s="8" t="n">
        <v>65317.23</v>
      </c>
      <c r="F11" s="7" t="n">
        <v>29</v>
      </c>
    </row>
    <row r="12" ht="18" customHeight="1">
      <c r="A12" s="4" t="inlineStr">
        <is>
          <t>2024-09</t>
        </is>
      </c>
      <c r="B12" s="4" t="n">
        <v>2024</v>
      </c>
      <c r="C12" s="4" t="n">
        <v>9</v>
      </c>
      <c r="D12" s="5" t="n">
        <v>226234.26</v>
      </c>
      <c r="E12" s="5" t="n">
        <v>57228.05</v>
      </c>
      <c r="F12" s="4" t="n">
        <v>23</v>
      </c>
    </row>
    <row r="13" ht="18" customHeight="1">
      <c r="A13" s="7" t="inlineStr">
        <is>
          <t>2024-10</t>
        </is>
      </c>
      <c r="B13" s="7" t="n">
        <v>2024</v>
      </c>
      <c r="C13" s="7" t="n">
        <v>10</v>
      </c>
      <c r="D13" s="8" t="n">
        <v>336809.7</v>
      </c>
      <c r="E13" s="8" t="n">
        <v>85200.97</v>
      </c>
      <c r="F13" s="7" t="n">
        <v>30</v>
      </c>
    </row>
    <row r="14" ht="18" customHeight="1">
      <c r="A14" s="4" t="inlineStr">
        <is>
          <t>2024-11</t>
        </is>
      </c>
      <c r="B14" s="4" t="n">
        <v>2024</v>
      </c>
      <c r="C14" s="4" t="n">
        <v>11</v>
      </c>
      <c r="D14" s="5" t="n">
        <v>263360.54</v>
      </c>
      <c r="E14" s="5" t="n">
        <v>92170.92</v>
      </c>
      <c r="F14" s="4" t="n">
        <v>24</v>
      </c>
    </row>
    <row r="15" ht="18" customHeight="1">
      <c r="A15" s="7" t="inlineStr">
        <is>
          <t>2024-12</t>
        </is>
      </c>
      <c r="B15" s="7" t="n">
        <v>2024</v>
      </c>
      <c r="C15" s="7" t="n">
        <v>12</v>
      </c>
      <c r="D15" s="8" t="n">
        <v>184057.18</v>
      </c>
      <c r="E15" s="8" t="n">
        <v>53448.26</v>
      </c>
      <c r="F15" s="7" t="n">
        <v>24</v>
      </c>
    </row>
    <row r="16" ht="18" customHeight="1">
      <c r="A16" s="4" t="inlineStr">
        <is>
          <t>2025-01</t>
        </is>
      </c>
      <c r="B16" s="4" t="n">
        <v>2025</v>
      </c>
      <c r="C16" s="4" t="n">
        <v>1</v>
      </c>
      <c r="D16" s="5" t="n">
        <v>290312.37</v>
      </c>
      <c r="E16" s="5" t="n">
        <v>79222.02</v>
      </c>
      <c r="F16" s="4" t="n">
        <v>28</v>
      </c>
    </row>
    <row r="17" ht="18" customHeight="1">
      <c r="A17" s="7" t="inlineStr">
        <is>
          <t>2025-02</t>
        </is>
      </c>
      <c r="B17" s="7" t="n">
        <v>2025</v>
      </c>
      <c r="C17" s="7" t="n">
        <v>2</v>
      </c>
      <c r="D17" s="8" t="n">
        <v>345729.81</v>
      </c>
      <c r="E17" s="8" t="n">
        <v>101344.48</v>
      </c>
      <c r="F17" s="7" t="n">
        <v>34</v>
      </c>
    </row>
    <row r="18" ht="18" customHeight="1">
      <c r="A18" s="4" t="inlineStr">
        <is>
          <t>2025-03</t>
        </is>
      </c>
      <c r="B18" s="4" t="n">
        <v>2025</v>
      </c>
      <c r="C18" s="4" t="n">
        <v>3</v>
      </c>
      <c r="D18" s="5" t="n">
        <v>320965.76</v>
      </c>
      <c r="E18" s="5" t="n">
        <v>93145.05</v>
      </c>
      <c r="F18" s="4" t="n">
        <v>26</v>
      </c>
    </row>
    <row r="19" ht="18" customHeight="1">
      <c r="A19" s="7" t="inlineStr">
        <is>
          <t>2025-04</t>
        </is>
      </c>
      <c r="B19" s="7" t="n">
        <v>2025</v>
      </c>
      <c r="C19" s="7" t="n">
        <v>4</v>
      </c>
      <c r="D19" s="8" t="n">
        <v>264841.5</v>
      </c>
      <c r="E19" s="8" t="n">
        <v>72497.38</v>
      </c>
      <c r="F19" s="7" t="n">
        <v>32</v>
      </c>
    </row>
    <row r="20" ht="18" customHeight="1">
      <c r="A20" s="4" t="inlineStr">
        <is>
          <t>2025-05</t>
        </is>
      </c>
      <c r="B20" s="4" t="n">
        <v>2025</v>
      </c>
      <c r="C20" s="4" t="n">
        <v>5</v>
      </c>
      <c r="D20" s="5" t="n">
        <v>279496.22</v>
      </c>
      <c r="E20" s="5" t="n">
        <v>84203.00999999999</v>
      </c>
      <c r="F20" s="4" t="n">
        <v>28</v>
      </c>
    </row>
    <row r="21" ht="18" customHeight="1">
      <c r="A21" s="7" t="inlineStr">
        <is>
          <t>2025-06</t>
        </is>
      </c>
      <c r="B21" s="7" t="n">
        <v>2025</v>
      </c>
      <c r="C21" s="7" t="n">
        <v>6</v>
      </c>
      <c r="D21" s="8" t="n">
        <v>193229.12</v>
      </c>
      <c r="E21" s="8" t="n">
        <v>47689.05</v>
      </c>
      <c r="F21" s="7" t="n">
        <v>26</v>
      </c>
    </row>
    <row r="22" ht="18" customHeight="1">
      <c r="A22" s="4" t="inlineStr">
        <is>
          <t>2025-07</t>
        </is>
      </c>
      <c r="B22" s="4" t="n">
        <v>2025</v>
      </c>
      <c r="C22" s="4" t="n">
        <v>7</v>
      </c>
      <c r="D22" s="5" t="n">
        <v>275391.91</v>
      </c>
      <c r="E22" s="5" t="n">
        <v>81264.35000000001</v>
      </c>
      <c r="F22" s="4" t="n">
        <v>26</v>
      </c>
    </row>
    <row r="23" ht="18" customHeight="1">
      <c r="A23" s="7" t="inlineStr">
        <is>
          <t>2025-08</t>
        </is>
      </c>
      <c r="B23" s="7" t="n">
        <v>2025</v>
      </c>
      <c r="C23" s="7" t="n">
        <v>8</v>
      </c>
      <c r="D23" s="8" t="n">
        <v>274671.59</v>
      </c>
      <c r="E23" s="8" t="n">
        <v>87633.57000000001</v>
      </c>
      <c r="F23" s="7" t="n">
        <v>33</v>
      </c>
    </row>
    <row r="24" ht="18" customHeight="1">
      <c r="A24" s="4" t="inlineStr">
        <is>
          <t>2025-09</t>
        </is>
      </c>
      <c r="B24" s="4" t="n">
        <v>2025</v>
      </c>
      <c r="C24" s="4" t="n">
        <v>9</v>
      </c>
      <c r="D24" s="5" t="n">
        <v>325126.36</v>
      </c>
      <c r="E24" s="5" t="n">
        <v>99533</v>
      </c>
      <c r="F24" s="4" t="n">
        <v>26</v>
      </c>
    </row>
    <row r="25" ht="18" customHeight="1">
      <c r="A25" s="7" t="inlineStr">
        <is>
          <t>2025-10</t>
        </is>
      </c>
      <c r="B25" s="7" t="n">
        <v>2025</v>
      </c>
      <c r="C25" s="7" t="n">
        <v>10</v>
      </c>
      <c r="D25" s="8" t="n">
        <v>103051.76</v>
      </c>
      <c r="E25" s="8" t="n">
        <v>31941.66</v>
      </c>
      <c r="F25" s="7" t="n">
        <v>10</v>
      </c>
    </row>
    <row r="26" ht="18" customHeight="1">
      <c r="A26" s="4" t="inlineStr">
        <is>
          <t>2025-11</t>
        </is>
      </c>
      <c r="B26" s="4" t="n">
        <v>2025</v>
      </c>
      <c r="C26" s="4" t="n">
        <v>11</v>
      </c>
      <c r="D26" s="5" t="n">
        <v>23474.85</v>
      </c>
      <c r="E26" s="5" t="n">
        <v>7871.47</v>
      </c>
      <c r="F26" s="4" t="n">
        <v>3</v>
      </c>
    </row>
    <row r="27" ht="18" customHeight="1">
      <c r="A27" s="7" t="inlineStr">
        <is>
          <t>2025-12</t>
        </is>
      </c>
      <c r="B27" s="7" t="n">
        <v>2025</v>
      </c>
      <c r="C27" s="7" t="n">
        <v>12</v>
      </c>
      <c r="D27" s="8" t="n">
        <v>12372.42</v>
      </c>
      <c r="E27" s="8" t="n">
        <v>2635.41</v>
      </c>
      <c r="F27" s="7" t="n">
        <v>2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2026-06-26T02:21:55Z</dcterms:created>
  <dcterms:modified xmlns:dcterms="http://purl.org/dc/terms/" xmlns:xsi="http://www.w3.org/2001/XMLSchema-instance" xsi:type="dcterms:W3CDTF">2026-06-26T02:21:55Z</dcterms:modified>
</cp:coreProperties>
</file>